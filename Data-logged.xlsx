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ficHeat " sheetId="1" r:id="rId4"/>
    <sheet state="visible" name="LossToSurr" sheetId="2" r:id="rId5"/>
    <sheet state="visible" name="AluminumT" sheetId="3" r:id="rId6"/>
    <sheet state="visible" name="CuT" sheetId="4" r:id="rId7"/>
  </sheets>
  <definedNames/>
  <calcPr/>
</workbook>
</file>

<file path=xl/sharedStrings.xml><?xml version="1.0" encoding="utf-8"?>
<sst xmlns="http://schemas.openxmlformats.org/spreadsheetml/2006/main" count="49" uniqueCount="41">
  <si>
    <t>time</t>
  </si>
  <si>
    <t>temp</t>
  </si>
  <si>
    <t>delta</t>
  </si>
  <si>
    <t>mass of calorimeter empty</t>
  </si>
  <si>
    <t>mass of water</t>
  </si>
  <si>
    <t>Heat capacity of Calorimeter=</t>
  </si>
  <si>
    <t>1081.5 J/K</t>
  </si>
  <si>
    <t>time(min)</t>
  </si>
  <si>
    <t>Temp</t>
  </si>
  <si>
    <t>mass with lid and thermo</t>
  </si>
  <si>
    <t>dQ/dt</t>
  </si>
  <si>
    <t>W</t>
  </si>
  <si>
    <t>R^2</t>
  </si>
  <si>
    <t>lower calorimeter temp</t>
  </si>
  <si>
    <t>Th</t>
  </si>
  <si>
    <t>Tc</t>
  </si>
  <si>
    <t>grad</t>
  </si>
  <si>
    <t>room temp</t>
  </si>
  <si>
    <t>Al</t>
  </si>
  <si>
    <t>wt of calorimeter in gm</t>
  </si>
  <si>
    <t>For 5min</t>
  </si>
  <si>
    <t>dQ/dt = 774.6137002384187 J/min</t>
  </si>
  <si>
    <t>dQ/dt = 12.910228337306979 W</t>
  </si>
  <si>
    <t>R^2 = 0.9932432432432432</t>
  </si>
  <si>
    <t>ROD</t>
  </si>
  <si>
    <t>For full</t>
  </si>
  <si>
    <t>dQ/dt = 315.17042943115973 J/min</t>
  </si>
  <si>
    <t>dQ/dt = 5.252840490519329 W</t>
  </si>
  <si>
    <t>R^2 = 0.9445195142218903</t>
  </si>
  <si>
    <t>Lambda</t>
  </si>
  <si>
    <t>difference</t>
  </si>
  <si>
    <t>mass water</t>
  </si>
  <si>
    <t>Cu Full</t>
  </si>
  <si>
    <t>dQ/dt = 378.8959948129416 J/min</t>
  </si>
  <si>
    <t>dQ/dt = 6.31493324688236 W</t>
  </si>
  <si>
    <t>R^2 = 0.9427159032383907</t>
  </si>
  <si>
    <t>t&lt;=5</t>
  </si>
  <si>
    <t>dQ/dt = 800.7382682103794 J/min</t>
  </si>
  <si>
    <t>dQ/dt = 13.345637803506323 W</t>
  </si>
  <si>
    <t>R^2 = 0.9605911330049262</t>
  </si>
  <si>
    <t>Lambda=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</si>
</sst>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sz val="10.0"/>
      <color/>
      <name val="Arial"/>
    </font>
    <font>
      <b/>
      <sz val="10.0"/>
      <color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</border>
    <border>
      <right style="medium">
        <color rgb="FFCCCCCC"/>
      </right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right"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right" shrinkToFit="0" wrapText="1"/>
    </xf>
    <xf borderId="4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right" shrinkToFit="0" wrapText="1"/>
    </xf>
    <xf borderId="5" fillId="0" fontId="1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6" fillId="0" fontId="1" numFmtId="0" xfId="0" applyAlignment="1" applyBorder="1" applyFont="1">
      <alignment horizontal="right" shrinkToFit="0" wrapText="1"/>
    </xf>
    <xf borderId="0" fillId="0" fontId="1" numFmtId="0" xfId="0" applyAlignment="1" applyFont="1">
      <alignment horizontal="right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3.71"/>
    <col customWidth="1" min="5" max="5" width="28.71"/>
    <col customWidth="1" min="6" max="11" width="8.71"/>
  </cols>
  <sheetData>
    <row r="1" ht="14.25" customHeight="1">
      <c r="A1" s="1" t="s">
        <v>0</v>
      </c>
      <c r="B1" s="1" t="s">
        <v>1</v>
      </c>
      <c r="C1" t="s">
        <v>2</v>
      </c>
      <c r="D1" t="s">
        <v>3</v>
      </c>
      <c r="E1">
        <v>1404.0</v>
      </c>
    </row>
    <row r="2" ht="14.25" customHeight="1">
      <c r="A2" s="2">
        <v>0.0</v>
      </c>
      <c r="B2" s="2">
        <v>86.6</v>
      </c>
      <c r="C2" t="str">
        <f t="shared" ref="C2:C34" si="1">B3-B2</f>
        <v>-2.8</v>
      </c>
      <c r="D2" t="s">
        <v>4</v>
      </c>
      <c r="E2">
        <v>401.8</v>
      </c>
    </row>
    <row r="3" ht="14.25" customHeight="1">
      <c r="A3" s="2">
        <v>1.0</v>
      </c>
      <c r="B3" s="2">
        <v>83.8</v>
      </c>
      <c r="C3" t="str">
        <f t="shared" si="1"/>
        <v>-2.3</v>
      </c>
    </row>
    <row r="4" ht="14.25" customHeight="1">
      <c r="A4" s="2">
        <v>2.0</v>
      </c>
      <c r="B4" s="2">
        <v>81.5</v>
      </c>
      <c r="C4" t="str">
        <f t="shared" si="1"/>
        <v>-1.8</v>
      </c>
    </row>
    <row r="5" ht="14.25" customHeight="1">
      <c r="A5" s="2">
        <v>3.0</v>
      </c>
      <c r="B5" s="2">
        <v>79.7</v>
      </c>
      <c r="C5" t="str">
        <f t="shared" si="1"/>
        <v>-1.5</v>
      </c>
      <c r="E5" t="s">
        <v>5</v>
      </c>
      <c r="F5" t="s">
        <v>6</v>
      </c>
    </row>
    <row r="6" ht="14.25" customHeight="1">
      <c r="A6" s="2">
        <v>4.0</v>
      </c>
      <c r="B6" s="2">
        <v>78.2</v>
      </c>
      <c r="C6" t="str">
        <f t="shared" si="1"/>
        <v>-1.4</v>
      </c>
    </row>
    <row r="7" ht="14.25" customHeight="1">
      <c r="A7" s="2">
        <v>5.0</v>
      </c>
      <c r="B7" s="2">
        <v>76.8</v>
      </c>
      <c r="C7" t="str">
        <f t="shared" si="1"/>
        <v>-0.7</v>
      </c>
    </row>
    <row r="8" ht="14.25" customHeight="1">
      <c r="A8" s="2">
        <v>6.0</v>
      </c>
      <c r="B8" s="2">
        <v>76.1</v>
      </c>
      <c r="C8" t="str">
        <f t="shared" si="1"/>
        <v>-0.4</v>
      </c>
    </row>
    <row r="9" ht="14.25" customHeight="1">
      <c r="A9" s="2">
        <v>7.0</v>
      </c>
      <c r="B9" s="2">
        <v>75.7</v>
      </c>
      <c r="C9" t="str">
        <f t="shared" si="1"/>
        <v>-1.3</v>
      </c>
    </row>
    <row r="10" ht="14.25" customHeight="1">
      <c r="A10" s="2">
        <v>8.0</v>
      </c>
      <c r="B10" s="2">
        <v>74.4</v>
      </c>
      <c r="C10" t="str">
        <f t="shared" si="1"/>
        <v>-1</v>
      </c>
    </row>
    <row r="11" ht="14.25" customHeight="1">
      <c r="A11" s="2">
        <v>9.0</v>
      </c>
      <c r="B11" s="2">
        <v>73.4</v>
      </c>
      <c r="C11" t="str">
        <f t="shared" si="1"/>
        <v>-0.5</v>
      </c>
    </row>
    <row r="12" ht="14.25" customHeight="1">
      <c r="A12" s="2">
        <v>10.0</v>
      </c>
      <c r="B12" s="2">
        <v>72.9</v>
      </c>
      <c r="C12" t="str">
        <f t="shared" si="1"/>
        <v>-0.8</v>
      </c>
    </row>
    <row r="13" ht="14.25" customHeight="1">
      <c r="A13" s="2">
        <v>11.0</v>
      </c>
      <c r="B13" s="2">
        <v>72.1</v>
      </c>
      <c r="C13" t="str">
        <f t="shared" si="1"/>
        <v>-0.7</v>
      </c>
    </row>
    <row r="14" ht="14.25" customHeight="1">
      <c r="A14" s="2">
        <v>12.0</v>
      </c>
      <c r="B14" s="2">
        <v>71.4</v>
      </c>
      <c r="C14" t="str">
        <f t="shared" si="1"/>
        <v>-0.9</v>
      </c>
    </row>
    <row r="15" ht="14.25" customHeight="1">
      <c r="A15" s="2">
        <v>13.0</v>
      </c>
      <c r="B15" s="2">
        <v>70.5</v>
      </c>
      <c r="C15" t="str">
        <f t="shared" si="1"/>
        <v>-0.5</v>
      </c>
    </row>
    <row r="16" ht="14.25" customHeight="1">
      <c r="A16" s="2">
        <v>14.0</v>
      </c>
      <c r="B16" s="2">
        <v>70.0</v>
      </c>
      <c r="C16" t="str">
        <f t="shared" si="1"/>
        <v>-0.5</v>
      </c>
    </row>
    <row r="17" ht="14.25" customHeight="1">
      <c r="A17" s="2">
        <v>15.0</v>
      </c>
      <c r="B17" s="2">
        <v>69.5</v>
      </c>
      <c r="C17" t="str">
        <f t="shared" si="1"/>
        <v>-0.6</v>
      </c>
    </row>
    <row r="18" ht="14.25" customHeight="1">
      <c r="A18" s="2">
        <v>16.0</v>
      </c>
      <c r="B18" s="2">
        <v>68.9</v>
      </c>
      <c r="C18" t="str">
        <f t="shared" si="1"/>
        <v>-0.7</v>
      </c>
    </row>
    <row r="19" ht="14.25" customHeight="1">
      <c r="A19" s="2">
        <v>17.0</v>
      </c>
      <c r="B19" s="2">
        <v>68.2</v>
      </c>
      <c r="C19" t="str">
        <f t="shared" si="1"/>
        <v>-0.6</v>
      </c>
    </row>
    <row r="20" ht="14.25" customHeight="1">
      <c r="A20" s="2">
        <v>18.0</v>
      </c>
      <c r="B20" s="2">
        <v>67.6</v>
      </c>
      <c r="C20" t="str">
        <f t="shared" si="1"/>
        <v>-0.4</v>
      </c>
    </row>
    <row r="21" ht="14.25" customHeight="1">
      <c r="A21" s="2">
        <v>19.0</v>
      </c>
      <c r="B21" s="2">
        <v>67.2</v>
      </c>
      <c r="C21" t="str">
        <f t="shared" si="1"/>
        <v>-0.5</v>
      </c>
    </row>
    <row r="22" ht="14.25" customHeight="1">
      <c r="A22" s="2">
        <v>20.0</v>
      </c>
      <c r="B22" s="2">
        <v>66.7</v>
      </c>
      <c r="C22" t="str">
        <f t="shared" si="1"/>
        <v>-0.6</v>
      </c>
    </row>
    <row r="23" ht="14.25" customHeight="1">
      <c r="A23" s="2">
        <v>21.0</v>
      </c>
      <c r="B23" s="2">
        <v>66.1</v>
      </c>
      <c r="C23" t="str">
        <f t="shared" si="1"/>
        <v>-0.3</v>
      </c>
    </row>
    <row r="24" ht="14.25" customHeight="1">
      <c r="A24" s="2">
        <v>22.0</v>
      </c>
      <c r="B24" s="2">
        <v>65.8</v>
      </c>
      <c r="C24" t="str">
        <f t="shared" si="1"/>
        <v>-0.4</v>
      </c>
    </row>
    <row r="25" ht="14.25" customHeight="1">
      <c r="A25" s="2">
        <v>23.0</v>
      </c>
      <c r="B25" s="2">
        <v>65.4</v>
      </c>
      <c r="C25" t="str">
        <f t="shared" si="1"/>
        <v>-0.3</v>
      </c>
    </row>
    <row r="26" ht="14.25" customHeight="1">
      <c r="A26" s="2">
        <v>24.0</v>
      </c>
      <c r="B26" s="2">
        <v>65.1</v>
      </c>
      <c r="C26" t="str">
        <f t="shared" si="1"/>
        <v>-0.5</v>
      </c>
    </row>
    <row r="27" ht="14.25" customHeight="1">
      <c r="A27" s="2">
        <v>25.0</v>
      </c>
      <c r="B27" s="2">
        <v>64.6</v>
      </c>
      <c r="C27" t="str">
        <f t="shared" si="1"/>
        <v>-0.4</v>
      </c>
    </row>
    <row r="28" ht="14.25" customHeight="1">
      <c r="A28" s="2">
        <v>26.0</v>
      </c>
      <c r="B28" s="2">
        <v>64.2</v>
      </c>
      <c r="C28" t="str">
        <f t="shared" si="1"/>
        <v>-0.6</v>
      </c>
    </row>
    <row r="29" ht="14.25" customHeight="1">
      <c r="A29" s="2">
        <v>27.0</v>
      </c>
      <c r="B29" s="2">
        <v>63.6</v>
      </c>
      <c r="C29" t="str">
        <f t="shared" si="1"/>
        <v>-0.4</v>
      </c>
    </row>
    <row r="30" ht="14.25" customHeight="1">
      <c r="A30" s="2">
        <v>28.0</v>
      </c>
      <c r="B30" s="2">
        <v>63.2</v>
      </c>
      <c r="C30" t="str">
        <f t="shared" si="1"/>
        <v>-0.4</v>
      </c>
    </row>
    <row r="31" ht="14.25" customHeight="1">
      <c r="A31" s="2">
        <v>29.0</v>
      </c>
      <c r="B31" s="2">
        <v>62.8</v>
      </c>
      <c r="C31" t="str">
        <f t="shared" si="1"/>
        <v>-0.3</v>
      </c>
    </row>
    <row r="32" ht="14.25" customHeight="1">
      <c r="A32" s="2">
        <v>30.0</v>
      </c>
      <c r="B32" s="2">
        <v>62.5</v>
      </c>
      <c r="C32" t="str">
        <f t="shared" si="1"/>
        <v>-0.4</v>
      </c>
    </row>
    <row r="33" ht="14.25" customHeight="1">
      <c r="A33" s="2">
        <v>31.0</v>
      </c>
      <c r="B33" s="2">
        <v>62.1</v>
      </c>
      <c r="C33" t="str">
        <f t="shared" si="1"/>
        <v>-0.3</v>
      </c>
    </row>
    <row r="34" ht="14.25" customHeight="1">
      <c r="A34" s="2">
        <v>32.0</v>
      </c>
      <c r="B34" s="2">
        <v>61.8</v>
      </c>
      <c r="C34" t="str">
        <f t="shared" si="1"/>
        <v>-61.8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1.86"/>
    <col customWidth="1" min="5" max="11" width="8.71"/>
  </cols>
  <sheetData>
    <row r="1" ht="14.25" customHeight="1">
      <c r="A1" s="1" t="s">
        <v>7</v>
      </c>
      <c r="B1" s="1" t="s">
        <v>8</v>
      </c>
    </row>
    <row r="2" ht="14.25" customHeight="1">
      <c r="A2" s="2">
        <v>0.0</v>
      </c>
      <c r="B2" s="2">
        <v>0.7</v>
      </c>
      <c r="D2" t="s">
        <v>9</v>
      </c>
      <c r="E2">
        <v>2151.4</v>
      </c>
    </row>
    <row r="3" ht="14.25" customHeight="1">
      <c r="A3" s="2">
        <v>1.0</v>
      </c>
      <c r="B3" s="2">
        <v>0.7</v>
      </c>
      <c r="D3" t="s">
        <v>4</v>
      </c>
      <c r="E3">
        <v>592.4</v>
      </c>
    </row>
    <row r="4" ht="14.25" customHeight="1">
      <c r="A4" s="2">
        <v>2.0</v>
      </c>
      <c r="B4" s="2">
        <v>0.8</v>
      </c>
    </row>
    <row r="5" ht="14.25" customHeight="1">
      <c r="A5" s="2">
        <v>3.0</v>
      </c>
      <c r="B5" s="2">
        <v>0.9</v>
      </c>
      <c r="D5" t="s">
        <v>10</v>
      </c>
      <c r="E5" t="str">
        <f>215.93517/60</f>
        <v>3.5989195</v>
      </c>
      <c r="F5" t="s">
        <v>11</v>
      </c>
    </row>
    <row r="6" ht="14.25" customHeight="1">
      <c r="A6" s="2">
        <v>4.0</v>
      </c>
      <c r="B6" s="2">
        <v>1.1</v>
      </c>
      <c r="D6" t="s">
        <v>12</v>
      </c>
      <c r="E6">
        <v>0.98902</v>
      </c>
    </row>
    <row r="7" ht="14.25" customHeight="1">
      <c r="A7" s="2">
        <v>5.0</v>
      </c>
      <c r="B7" s="2">
        <v>1.3</v>
      </c>
    </row>
    <row r="8" ht="14.25" customHeight="1">
      <c r="A8" s="2">
        <v>6.0</v>
      </c>
      <c r="B8" s="2">
        <v>1.4</v>
      </c>
    </row>
    <row r="9" ht="14.25" customHeight="1">
      <c r="A9" s="2">
        <v>7.0</v>
      </c>
      <c r="B9" s="2">
        <v>1.5</v>
      </c>
    </row>
    <row r="10" ht="14.25" customHeight="1">
      <c r="A10" s="2">
        <v>8.0</v>
      </c>
      <c r="B10" s="2">
        <v>1.6</v>
      </c>
    </row>
    <row r="11" ht="14.25" customHeight="1">
      <c r="A11" s="2">
        <v>9.0</v>
      </c>
      <c r="B11" s="2">
        <v>1.8</v>
      </c>
    </row>
    <row r="12" ht="14.25" customHeight="1">
      <c r="A12" s="2">
        <v>10.0</v>
      </c>
      <c r="B12" s="2">
        <v>1.9</v>
      </c>
    </row>
    <row r="13" ht="14.25" customHeight="1">
      <c r="A13" s="2">
        <v>11.0</v>
      </c>
      <c r="B13" s="2">
        <v>2.0</v>
      </c>
    </row>
    <row r="14" ht="14.25" customHeight="1">
      <c r="A14" s="2">
        <v>12.0</v>
      </c>
      <c r="B14" s="2">
        <v>2.1</v>
      </c>
    </row>
    <row r="15" ht="14.25" customHeight="1">
      <c r="A15" s="2">
        <v>13.0</v>
      </c>
      <c r="B15" s="2">
        <v>2.2</v>
      </c>
    </row>
    <row r="16" ht="14.25" customHeight="1">
      <c r="A16" s="2">
        <v>14.0</v>
      </c>
      <c r="B16" s="2">
        <v>2.3</v>
      </c>
    </row>
    <row r="17" ht="14.25" customHeight="1">
      <c r="A17" s="2">
        <v>15.0</v>
      </c>
      <c r="B17" s="2">
        <v>2.4</v>
      </c>
    </row>
    <row r="18" ht="14.25" customHeight="1">
      <c r="A18" s="2">
        <v>16.0</v>
      </c>
      <c r="B18" s="2">
        <v>2.5</v>
      </c>
    </row>
    <row r="19" ht="14.25" customHeight="1">
      <c r="A19" s="2">
        <v>17.0</v>
      </c>
      <c r="B19" s="2">
        <v>2.6</v>
      </c>
    </row>
    <row r="20" ht="14.25" customHeight="1">
      <c r="A20" s="2">
        <v>18.0</v>
      </c>
      <c r="B20" s="2">
        <v>2.7</v>
      </c>
    </row>
    <row r="21" ht="14.25" customHeight="1">
      <c r="A21" s="2">
        <v>19.0</v>
      </c>
      <c r="B21" s="2">
        <v>2.7</v>
      </c>
    </row>
    <row r="22" ht="14.25" customHeight="1">
      <c r="A22" s="2">
        <v>20.0</v>
      </c>
      <c r="B22" s="2">
        <v>2.8</v>
      </c>
    </row>
    <row r="23" ht="14.25" customHeight="1">
      <c r="A23" s="2">
        <v>21.0</v>
      </c>
      <c r="B23" s="2">
        <v>2.9</v>
      </c>
    </row>
    <row r="24" ht="14.25" customHeight="1">
      <c r="A24" s="2">
        <v>22.0</v>
      </c>
      <c r="B24" s="2">
        <v>3.0</v>
      </c>
    </row>
    <row r="25" ht="14.25" customHeight="1">
      <c r="A25" s="2">
        <v>23.0</v>
      </c>
      <c r="B25" s="2">
        <v>3.1</v>
      </c>
    </row>
    <row r="26" ht="14.25" customHeight="1">
      <c r="A26" s="2">
        <v>24.0</v>
      </c>
      <c r="B26" s="2">
        <v>3.2</v>
      </c>
    </row>
    <row r="27" ht="14.25" customHeight="1">
      <c r="A27" s="2">
        <v>25.0</v>
      </c>
      <c r="B27" s="2">
        <v>3.2</v>
      </c>
    </row>
    <row r="28" ht="14.25" customHeight="1">
      <c r="A28" s="2">
        <v>26.0</v>
      </c>
      <c r="B28" s="2">
        <v>3.3</v>
      </c>
    </row>
    <row r="29" ht="14.25" customHeight="1">
      <c r="A29" s="2">
        <v>27.0</v>
      </c>
      <c r="B29" s="2">
        <v>3.4</v>
      </c>
    </row>
    <row r="30" ht="14.25" customHeight="1">
      <c r="A30" s="2">
        <v>28.0</v>
      </c>
      <c r="B30" s="2">
        <v>3.5</v>
      </c>
    </row>
    <row r="31" ht="14.25" customHeight="1">
      <c r="A31" s="2">
        <v>29.0</v>
      </c>
      <c r="B31" s="2">
        <v>3.5</v>
      </c>
    </row>
    <row r="32" ht="14.25" customHeight="1">
      <c r="A32" s="2">
        <v>30.0</v>
      </c>
      <c r="B32" s="2">
        <v>3.6</v>
      </c>
    </row>
    <row r="33" ht="14.25" customHeight="1">
      <c r="A33" s="2">
        <v>31.0</v>
      </c>
      <c r="B33" s="2">
        <v>3.6</v>
      </c>
    </row>
    <row r="34" ht="14.25" customHeight="1">
      <c r="A34" s="2">
        <v>32.0</v>
      </c>
      <c r="B34" s="2">
        <v>3.7</v>
      </c>
    </row>
    <row r="35" ht="14.25" customHeight="1">
      <c r="A35" s="2">
        <v>33.0</v>
      </c>
      <c r="B35" s="2">
        <v>3.7</v>
      </c>
    </row>
    <row r="36" ht="14.25" customHeight="1">
      <c r="A36" s="2">
        <v>34.0</v>
      </c>
      <c r="B36" s="2">
        <v>3.7</v>
      </c>
    </row>
    <row r="37" ht="14.25" customHeight="1">
      <c r="A37" s="2">
        <v>35.0</v>
      </c>
      <c r="B37" s="2">
        <v>3.7</v>
      </c>
    </row>
    <row r="38" ht="14.25" customHeight="1">
      <c r="A38" s="2">
        <v>36.0</v>
      </c>
      <c r="B38" s="2">
        <v>3.8</v>
      </c>
    </row>
    <row r="39" ht="14.25" customHeight="1">
      <c r="A39" s="2">
        <v>37.0</v>
      </c>
      <c r="B39" s="2">
        <v>3.8</v>
      </c>
    </row>
    <row r="40" ht="14.25" customHeight="1">
      <c r="A40" s="2">
        <v>38.0</v>
      </c>
      <c r="B40" s="2">
        <v>3.9</v>
      </c>
    </row>
    <row r="41" ht="14.25" customHeight="1">
      <c r="A41" s="2">
        <v>39.0</v>
      </c>
      <c r="B41" s="2">
        <v>4.0</v>
      </c>
    </row>
    <row r="42" ht="14.25" customHeight="1">
      <c r="A42" s="2">
        <v>40.0</v>
      </c>
      <c r="B42" s="2">
        <v>4.0</v>
      </c>
    </row>
    <row r="43" ht="14.25" customHeight="1">
      <c r="A43" s="2">
        <v>41.0</v>
      </c>
      <c r="B43" s="2">
        <v>4.0</v>
      </c>
    </row>
    <row r="44" ht="14.25" customHeight="1">
      <c r="A44" s="2">
        <v>42.0</v>
      </c>
      <c r="B44" s="2">
        <v>4.0</v>
      </c>
    </row>
    <row r="45" ht="14.25" customHeight="1">
      <c r="A45" s="2">
        <v>43.0</v>
      </c>
      <c r="B45" s="2">
        <v>4.1</v>
      </c>
    </row>
    <row r="46" ht="14.25" customHeight="1">
      <c r="A46" s="2">
        <v>44.0</v>
      </c>
      <c r="B46" s="2">
        <v>4.1</v>
      </c>
    </row>
    <row r="47" ht="14.25" customHeight="1">
      <c r="A47" s="2">
        <v>45.0</v>
      </c>
      <c r="B47" s="2">
        <v>4.1</v>
      </c>
    </row>
    <row r="48" ht="14.25" customHeight="1">
      <c r="A48" s="2">
        <v>46.0</v>
      </c>
      <c r="B48" s="2">
        <v>4.1</v>
      </c>
    </row>
    <row r="49" ht="14.25" customHeight="1">
      <c r="A49" s="2">
        <v>47.0</v>
      </c>
      <c r="B49" s="2">
        <v>4.2</v>
      </c>
    </row>
    <row r="50" ht="14.25" customHeight="1">
      <c r="A50" s="2">
        <v>48.0</v>
      </c>
      <c r="B50" s="2">
        <v>4.2</v>
      </c>
    </row>
    <row r="51" ht="14.25" customHeight="1">
      <c r="A51" s="2">
        <v>49.0</v>
      </c>
      <c r="B51" s="2">
        <v>4.2</v>
      </c>
    </row>
    <row r="52" ht="14.25" customHeight="1">
      <c r="A52" s="2">
        <v>50.0</v>
      </c>
      <c r="B52" s="2">
        <v>4.3</v>
      </c>
    </row>
    <row r="53" ht="14.25" customHeight="1">
      <c r="A53" s="2">
        <v>51.0</v>
      </c>
      <c r="B53" s="2">
        <v>4.3</v>
      </c>
    </row>
    <row r="54" ht="14.25" customHeight="1">
      <c r="A54" s="2">
        <v>52.0</v>
      </c>
      <c r="B54" s="2">
        <v>4.4</v>
      </c>
    </row>
    <row r="55" ht="14.25" customHeight="1">
      <c r="A55" s="2">
        <v>53.0</v>
      </c>
      <c r="B55" s="2">
        <v>4.4</v>
      </c>
    </row>
    <row r="56" ht="14.25" customHeight="1">
      <c r="A56" s="2">
        <v>54.0</v>
      </c>
      <c r="B56" s="2">
        <v>4.5</v>
      </c>
    </row>
    <row r="57" ht="14.25" customHeight="1">
      <c r="A57" s="2">
        <v>55.0</v>
      </c>
      <c r="B57" s="2">
        <v>4.5</v>
      </c>
    </row>
    <row r="58" ht="14.25" customHeight="1">
      <c r="A58" s="2">
        <v>56.0</v>
      </c>
      <c r="B58" s="2">
        <v>4.6</v>
      </c>
    </row>
    <row r="59" ht="14.25" customHeight="1">
      <c r="A59" s="2">
        <v>57.0</v>
      </c>
      <c r="B59" s="2">
        <v>4.6</v>
      </c>
    </row>
    <row r="60" ht="14.25" customHeight="1">
      <c r="A60" s="2">
        <v>58.0</v>
      </c>
      <c r="B60" s="2">
        <v>4.7</v>
      </c>
    </row>
    <row r="61" ht="14.25" customHeight="1">
      <c r="A61" s="2">
        <v>59.0</v>
      </c>
      <c r="B61" s="2">
        <v>4.8</v>
      </c>
    </row>
    <row r="62" ht="14.25" customHeight="1">
      <c r="A62" s="2">
        <v>60.0</v>
      </c>
      <c r="B62" s="2">
        <v>5.0</v>
      </c>
    </row>
    <row r="63" ht="14.25" customHeight="1">
      <c r="A63" s="2">
        <v>61.0</v>
      </c>
      <c r="B63" s="2">
        <v>5.1</v>
      </c>
    </row>
    <row r="64" ht="14.25" customHeight="1">
      <c r="A64" s="2">
        <v>62.0</v>
      </c>
      <c r="B64" s="2">
        <v>5.1</v>
      </c>
    </row>
    <row r="65" ht="14.25" customHeight="1">
      <c r="A65" s="2">
        <v>63.0</v>
      </c>
      <c r="B65" s="2">
        <v>5.2</v>
      </c>
    </row>
    <row r="66" ht="14.25" customHeight="1">
      <c r="A66" s="2">
        <v>64.0</v>
      </c>
      <c r="B66" s="2">
        <v>5.2</v>
      </c>
    </row>
    <row r="67" ht="14.25" customHeight="1">
      <c r="A67" s="2">
        <v>65.0</v>
      </c>
      <c r="B67" s="2">
        <v>5.2</v>
      </c>
    </row>
    <row r="68" ht="14.25" customHeight="1">
      <c r="A68" s="2">
        <v>66.0</v>
      </c>
      <c r="B68" s="2">
        <v>5.2</v>
      </c>
    </row>
    <row r="69" ht="14.25" customHeight="1">
      <c r="A69" s="2">
        <v>67.0</v>
      </c>
      <c r="B69" s="2">
        <v>5.3</v>
      </c>
    </row>
    <row r="70" ht="14.25" customHeight="1">
      <c r="A70" s="2">
        <v>68.0</v>
      </c>
      <c r="B70" s="2">
        <v>5.3</v>
      </c>
    </row>
    <row r="71" ht="14.25" customHeight="1">
      <c r="A71" s="2">
        <v>69.0</v>
      </c>
      <c r="B71" s="2">
        <v>5.3</v>
      </c>
    </row>
    <row r="72" ht="14.25" customHeight="1">
      <c r="A72" s="2">
        <v>70.0</v>
      </c>
      <c r="B72" s="2">
        <v>5.4</v>
      </c>
    </row>
    <row r="73" ht="14.25" customHeight="1">
      <c r="A73" s="2">
        <v>71.0</v>
      </c>
      <c r="B73" s="2">
        <v>5.5</v>
      </c>
    </row>
    <row r="74" ht="14.25" customHeight="1">
      <c r="A74" s="2">
        <v>72.0</v>
      </c>
      <c r="B74" s="2">
        <v>5.5</v>
      </c>
    </row>
    <row r="75" ht="14.25" customHeight="1">
      <c r="A75" s="2">
        <v>73.0</v>
      </c>
      <c r="B75" s="2">
        <v>5.6</v>
      </c>
    </row>
    <row r="76" ht="14.25" customHeight="1">
      <c r="A76" s="2">
        <v>74.0</v>
      </c>
      <c r="B76" s="2">
        <v>5.6</v>
      </c>
    </row>
    <row r="77" ht="14.25" customHeight="1">
      <c r="A77" s="2">
        <v>75.0</v>
      </c>
      <c r="B77" s="2">
        <v>5.7</v>
      </c>
    </row>
    <row r="78" ht="14.25" customHeight="1">
      <c r="A78" s="2">
        <v>76.0</v>
      </c>
      <c r="B78" s="2">
        <v>5.8</v>
      </c>
    </row>
    <row r="79" ht="14.25" customHeight="1">
      <c r="A79" s="2">
        <v>77.0</v>
      </c>
      <c r="B79" s="2">
        <v>5.8</v>
      </c>
    </row>
    <row r="80" ht="14.25" customHeight="1">
      <c r="A80" s="2">
        <v>78.0</v>
      </c>
      <c r="B80" s="2">
        <v>5.9</v>
      </c>
    </row>
    <row r="81" ht="14.25" customHeight="1">
      <c r="A81" s="2">
        <v>79.0</v>
      </c>
      <c r="B81" s="2">
        <v>5.9</v>
      </c>
    </row>
    <row r="82" ht="14.25" customHeight="1">
      <c r="A82" s="2">
        <v>80.0</v>
      </c>
      <c r="B82" s="2">
        <v>6.0</v>
      </c>
    </row>
    <row r="83" ht="14.25" customHeight="1">
      <c r="A83" s="2">
        <v>81.0</v>
      </c>
      <c r="B83" s="2">
        <v>6.1</v>
      </c>
    </row>
    <row r="84" ht="14.25" customHeight="1">
      <c r="A84" s="2">
        <v>82.0</v>
      </c>
      <c r="B84" s="2">
        <v>6.1</v>
      </c>
    </row>
    <row r="85" ht="14.25" customHeight="1">
      <c r="A85" s="2">
        <v>83.0</v>
      </c>
      <c r="B85" s="2">
        <v>6.2</v>
      </c>
    </row>
    <row r="86" ht="14.25" customHeight="1">
      <c r="A86" s="2">
        <v>84.0</v>
      </c>
      <c r="B86" s="2">
        <v>6.3</v>
      </c>
    </row>
    <row r="87" ht="14.25" customHeight="1">
      <c r="A87" s="2">
        <v>85.0</v>
      </c>
      <c r="B87" s="2">
        <v>6.3</v>
      </c>
    </row>
    <row r="88" ht="14.25" customHeight="1">
      <c r="A88" s="2">
        <v>86.0</v>
      </c>
      <c r="B88" s="2">
        <v>6.4</v>
      </c>
    </row>
    <row r="89" ht="14.25" customHeight="1">
      <c r="A89" s="2">
        <v>87.0</v>
      </c>
      <c r="B89" s="2">
        <v>6.4</v>
      </c>
    </row>
    <row r="90" ht="14.25" customHeight="1">
      <c r="A90" s="2">
        <v>88.0</v>
      </c>
      <c r="B90" s="2">
        <v>6.5</v>
      </c>
    </row>
    <row r="91" ht="14.25" customHeight="1">
      <c r="A91" s="2">
        <v>89.0</v>
      </c>
      <c r="B91" s="2">
        <v>6.6</v>
      </c>
    </row>
    <row r="92" ht="14.25" customHeight="1">
      <c r="A92" s="2">
        <v>90.0</v>
      </c>
      <c r="B92" s="2">
        <v>6.6</v>
      </c>
    </row>
    <row r="93" ht="14.25" customHeight="1">
      <c r="A93" s="2">
        <v>91.0</v>
      </c>
      <c r="B93" s="2">
        <v>6.8</v>
      </c>
    </row>
    <row r="94" ht="14.25" customHeight="1">
      <c r="A94" s="2">
        <v>92.0</v>
      </c>
      <c r="B94" s="2">
        <v>7.0</v>
      </c>
    </row>
    <row r="95" ht="14.25" customHeight="1">
      <c r="A95" s="2">
        <v>93.0</v>
      </c>
      <c r="B95" s="2">
        <v>7.1</v>
      </c>
    </row>
    <row r="96" ht="14.25" customHeight="1">
      <c r="A96" s="2">
        <v>94.0</v>
      </c>
      <c r="B96" s="2">
        <v>7.1</v>
      </c>
    </row>
    <row r="97" ht="14.25" customHeight="1">
      <c r="A97" s="2">
        <v>95.0</v>
      </c>
      <c r="B97" s="2">
        <v>7.2</v>
      </c>
    </row>
    <row r="98" ht="14.25" customHeight="1">
      <c r="A98" s="2">
        <v>96.0</v>
      </c>
      <c r="B98" s="2">
        <v>7.2</v>
      </c>
    </row>
    <row r="99" ht="14.25" customHeight="1">
      <c r="A99" s="2">
        <v>97.0</v>
      </c>
      <c r="B99" s="2">
        <v>7.3</v>
      </c>
    </row>
    <row r="100" ht="14.25" customHeight="1">
      <c r="A100" s="2">
        <v>98.0</v>
      </c>
      <c r="B100" s="2">
        <v>7.3</v>
      </c>
    </row>
    <row r="101" ht="14.25" customHeight="1">
      <c r="A101" s="2">
        <v>99.0</v>
      </c>
      <c r="B101" s="2">
        <v>7.4</v>
      </c>
    </row>
    <row r="102" ht="14.25" customHeight="1">
      <c r="A102" s="2">
        <v>100.0</v>
      </c>
      <c r="B102" s="2">
        <v>7.4</v>
      </c>
    </row>
    <row r="103" ht="14.25" customHeight="1">
      <c r="A103" s="2">
        <v>101.0</v>
      </c>
      <c r="B103" s="2">
        <v>7.5</v>
      </c>
    </row>
    <row r="104" ht="14.25" customHeight="1">
      <c r="A104" s="2">
        <v>102.0</v>
      </c>
      <c r="B104" s="2">
        <v>7.5</v>
      </c>
    </row>
    <row r="105" ht="14.25" customHeight="1">
      <c r="A105" s="2">
        <v>103.0</v>
      </c>
      <c r="B105" s="2">
        <v>7.5</v>
      </c>
    </row>
    <row r="106" ht="14.25" customHeight="1">
      <c r="A106" s="2">
        <v>104.0</v>
      </c>
      <c r="B106" s="2">
        <v>7.5</v>
      </c>
    </row>
    <row r="107" ht="14.25" customHeight="1">
      <c r="A107" s="2">
        <v>105.0</v>
      </c>
      <c r="B107" s="2">
        <v>7.5</v>
      </c>
    </row>
    <row r="108" ht="14.25" customHeight="1">
      <c r="A108" s="2">
        <v>106.0</v>
      </c>
      <c r="B108" s="2">
        <v>7.6</v>
      </c>
    </row>
    <row r="109" ht="14.25" customHeight="1">
      <c r="A109" s="2">
        <v>107.0</v>
      </c>
      <c r="B109" s="2">
        <v>7.7</v>
      </c>
    </row>
    <row r="110" ht="14.25" customHeight="1">
      <c r="A110" s="2">
        <v>108.0</v>
      </c>
      <c r="B110" s="2">
        <v>7.8</v>
      </c>
    </row>
    <row r="111" ht="14.25" customHeight="1">
      <c r="A111" s="2">
        <v>109.0</v>
      </c>
      <c r="B111" s="2">
        <v>7.9</v>
      </c>
    </row>
    <row r="112" ht="14.25" customHeight="1">
      <c r="A112" s="2">
        <v>110.0</v>
      </c>
      <c r="B112" s="2">
        <v>8.0</v>
      </c>
    </row>
    <row r="113" ht="14.25" customHeight="1">
      <c r="A113" s="2">
        <v>111.0</v>
      </c>
      <c r="B113" s="2">
        <v>8.2</v>
      </c>
    </row>
    <row r="114" ht="14.25" customHeight="1">
      <c r="A114" s="2">
        <v>112.0</v>
      </c>
      <c r="B114" s="2">
        <v>8.2</v>
      </c>
    </row>
    <row r="115" ht="14.25" customHeight="1">
      <c r="A115" s="2">
        <v>113.0</v>
      </c>
      <c r="B115" s="2">
        <v>8.3</v>
      </c>
    </row>
    <row r="116" ht="14.25" customHeight="1">
      <c r="A116" s="2">
        <v>114.0</v>
      </c>
      <c r="B116" s="2">
        <v>8.4</v>
      </c>
    </row>
    <row r="117" ht="14.25" customHeight="1">
      <c r="A117" s="2">
        <v>115.0</v>
      </c>
      <c r="B117" s="2">
        <v>8.5</v>
      </c>
    </row>
    <row r="118" ht="14.25" customHeight="1">
      <c r="A118" s="2">
        <v>116.0</v>
      </c>
      <c r="B118" s="2">
        <v>8.6</v>
      </c>
    </row>
    <row r="119" ht="14.25" customHeight="1">
      <c r="A119" s="2">
        <v>117.0</v>
      </c>
      <c r="B119" s="2">
        <v>8.8</v>
      </c>
    </row>
    <row r="120" ht="14.25" customHeight="1">
      <c r="A120" s="2">
        <v>118.0</v>
      </c>
      <c r="B120" s="2">
        <v>8.8</v>
      </c>
    </row>
    <row r="121" ht="14.25" customHeight="1">
      <c r="A121" s="2">
        <v>119.0</v>
      </c>
      <c r="B121" s="2">
        <v>8.8</v>
      </c>
    </row>
    <row r="122" ht="14.25" customHeight="1">
      <c r="A122" s="2">
        <v>120.0</v>
      </c>
      <c r="B122" s="2">
        <v>8.8</v>
      </c>
    </row>
    <row r="123" ht="14.25" customHeight="1">
      <c r="A123" s="2">
        <v>121.0</v>
      </c>
      <c r="B123" s="2">
        <v>8.8</v>
      </c>
    </row>
    <row r="124" ht="14.25" customHeight="1">
      <c r="A124" s="2">
        <v>122.0</v>
      </c>
      <c r="B124" s="2">
        <v>8.8</v>
      </c>
    </row>
    <row r="125" ht="14.25" customHeight="1">
      <c r="A125" s="2">
        <v>123.0</v>
      </c>
      <c r="B125" s="2">
        <v>8.8</v>
      </c>
    </row>
    <row r="126" ht="14.25" customHeight="1">
      <c r="A126" s="2">
        <v>124.0</v>
      </c>
      <c r="B126" s="2">
        <v>8.9</v>
      </c>
    </row>
    <row r="127" ht="14.25" customHeight="1">
      <c r="A127" s="2">
        <v>125.0</v>
      </c>
      <c r="B127" s="2">
        <v>9.0</v>
      </c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4.14"/>
    <col customWidth="1" min="7" max="18" width="8.71"/>
  </cols>
  <sheetData>
    <row r="1" ht="14.25" customHeight="1">
      <c r="A1" s="3" t="s">
        <v>0</v>
      </c>
      <c r="B1" s="1" t="s">
        <v>13</v>
      </c>
      <c r="C1" s="1" t="s">
        <v>14</v>
      </c>
      <c r="D1" s="1" t="s">
        <v>15</v>
      </c>
      <c r="E1" s="4" t="s">
        <v>16</v>
      </c>
    </row>
    <row r="2" ht="14.25" customHeight="1">
      <c r="A2" s="5">
        <v>0.0</v>
      </c>
      <c r="B2" s="2">
        <v>1.5</v>
      </c>
      <c r="C2" s="2">
        <v>39.4</v>
      </c>
      <c r="D2" s="2">
        <v>15.3</v>
      </c>
      <c r="E2" t="str">
        <f t="shared" ref="E2:E21" si="1">C2-D2</f>
        <v>24.1</v>
      </c>
      <c r="F2" s="6" t="s">
        <v>17</v>
      </c>
      <c r="G2" s="7">
        <v>24.0</v>
      </c>
      <c r="H2" s="8"/>
      <c r="I2" s="9" t="s">
        <v>18</v>
      </c>
      <c r="J2" s="8" t="s">
        <v>19</v>
      </c>
      <c r="K2" s="10">
        <v>2323.8</v>
      </c>
    </row>
    <row r="3" ht="14.25" customHeight="1">
      <c r="A3" s="5">
        <v>2.0</v>
      </c>
      <c r="B3" s="2">
        <v>1.8</v>
      </c>
      <c r="C3" s="2">
        <v>40.7</v>
      </c>
      <c r="D3" s="2">
        <v>16.8</v>
      </c>
      <c r="E3" t="str">
        <f t="shared" si="1"/>
        <v>23.9</v>
      </c>
    </row>
    <row r="4" ht="14.25" customHeight="1">
      <c r="A4" s="5">
        <v>4.0</v>
      </c>
      <c r="B4" s="2">
        <v>2.2</v>
      </c>
      <c r="C4" s="2">
        <v>41.7</v>
      </c>
      <c r="D4" s="2">
        <v>17.9</v>
      </c>
      <c r="E4" t="str">
        <f t="shared" si="1"/>
        <v>23.8</v>
      </c>
      <c r="F4" t="s">
        <v>4</v>
      </c>
      <c r="G4" s="11" t="str">
        <f>K2-120.8-1404</f>
        <v>799</v>
      </c>
    </row>
    <row r="5" ht="14.25" customHeight="1">
      <c r="A5" s="5">
        <v>6.0</v>
      </c>
      <c r="B5" s="2">
        <v>2.4</v>
      </c>
      <c r="C5" s="2">
        <v>42.1</v>
      </c>
      <c r="D5" s="2">
        <v>18.8</v>
      </c>
      <c r="E5" t="str">
        <f t="shared" si="1"/>
        <v>23.3</v>
      </c>
    </row>
    <row r="6" ht="14.25" customHeight="1">
      <c r="A6" s="5">
        <v>8.0</v>
      </c>
      <c r="B6" s="2">
        <v>2.5</v>
      </c>
      <c r="C6" s="2">
        <v>44.4</v>
      </c>
      <c r="D6" s="2">
        <v>19.4</v>
      </c>
      <c r="E6" t="str">
        <f t="shared" si="1"/>
        <v>25</v>
      </c>
    </row>
    <row r="7" ht="14.25" customHeight="1">
      <c r="A7" s="5">
        <v>10.0</v>
      </c>
      <c r="B7" s="2">
        <v>2.7</v>
      </c>
      <c r="C7" s="2">
        <v>45.7</v>
      </c>
      <c r="D7" s="2">
        <v>20.0</v>
      </c>
      <c r="E7" t="str">
        <f t="shared" si="1"/>
        <v>25.7</v>
      </c>
    </row>
    <row r="8" ht="14.25" customHeight="1">
      <c r="A8" s="5">
        <v>12.0</v>
      </c>
      <c r="B8" s="2">
        <v>3.0</v>
      </c>
      <c r="C8" s="2">
        <v>46.8</v>
      </c>
      <c r="D8" s="2">
        <v>20.4</v>
      </c>
      <c r="E8" t="str">
        <f t="shared" si="1"/>
        <v>26.4</v>
      </c>
      <c r="K8" t="s">
        <v>20</v>
      </c>
    </row>
    <row r="9" ht="14.25" customHeight="1">
      <c r="A9" s="5">
        <v>14.0</v>
      </c>
      <c r="B9" s="2">
        <v>3.2</v>
      </c>
      <c r="C9" s="2">
        <v>48.2</v>
      </c>
      <c r="D9" s="2">
        <v>21.0</v>
      </c>
      <c r="E9" t="str">
        <f t="shared" si="1"/>
        <v>27.2</v>
      </c>
      <c r="L9" t="s">
        <v>21</v>
      </c>
    </row>
    <row r="10" ht="14.25" customHeight="1">
      <c r="A10" s="5">
        <v>16.0</v>
      </c>
      <c r="B10" s="2">
        <v>3.4</v>
      </c>
      <c r="C10" s="2">
        <v>49.3</v>
      </c>
      <c r="D10" s="2">
        <v>21.3</v>
      </c>
      <c r="E10" t="str">
        <f t="shared" si="1"/>
        <v>28</v>
      </c>
      <c r="L10" t="s">
        <v>22</v>
      </c>
      <c r="Q10" t="s">
        <v>10</v>
      </c>
      <c r="R10" t="str">
        <f>12.91022833-3.598</f>
        <v>9.31222833</v>
      </c>
    </row>
    <row r="11" ht="14.25" customHeight="1">
      <c r="A11" s="5">
        <v>18.0</v>
      </c>
      <c r="B11" s="2">
        <v>3.5</v>
      </c>
      <c r="C11" s="2">
        <v>50.5</v>
      </c>
      <c r="D11" s="2">
        <v>21.7</v>
      </c>
      <c r="E11" t="str">
        <f t="shared" si="1"/>
        <v>28.8</v>
      </c>
      <c r="L11" t="s">
        <v>23</v>
      </c>
      <c r="Q11" t="s">
        <v>24</v>
      </c>
    </row>
    <row r="12" ht="14.25" customHeight="1">
      <c r="A12" s="5">
        <v>20.0</v>
      </c>
      <c r="B12" s="2">
        <v>3.6</v>
      </c>
      <c r="C12" s="2">
        <v>51.7</v>
      </c>
      <c r="D12" s="2">
        <v>22.1</v>
      </c>
      <c r="E12" t="str">
        <f t="shared" si="1"/>
        <v>29.6</v>
      </c>
    </row>
    <row r="13" ht="14.25" customHeight="1">
      <c r="A13" s="5">
        <v>22.0</v>
      </c>
      <c r="B13" s="2">
        <v>3.7</v>
      </c>
      <c r="C13" s="2">
        <v>52.8</v>
      </c>
      <c r="D13" s="2">
        <v>22.6</v>
      </c>
      <c r="E13" t="str">
        <f t="shared" si="1"/>
        <v>30.2</v>
      </c>
    </row>
    <row r="14" ht="14.25" customHeight="1">
      <c r="A14" s="5">
        <v>24.0</v>
      </c>
      <c r="B14" s="2">
        <v>3.8</v>
      </c>
      <c r="C14" s="2">
        <v>53.8</v>
      </c>
      <c r="D14" s="2">
        <v>23.0</v>
      </c>
      <c r="E14" t="str">
        <f t="shared" si="1"/>
        <v>30.8</v>
      </c>
      <c r="K14" t="s">
        <v>25</v>
      </c>
    </row>
    <row r="15" ht="14.25" customHeight="1">
      <c r="A15" s="5">
        <v>26.0</v>
      </c>
      <c r="B15" s="2">
        <v>3.8</v>
      </c>
      <c r="C15" s="2">
        <v>54.9</v>
      </c>
      <c r="D15" s="2">
        <v>23.6</v>
      </c>
      <c r="E15" t="str">
        <f t="shared" si="1"/>
        <v>31.3</v>
      </c>
      <c r="L15" t="s">
        <v>26</v>
      </c>
    </row>
    <row r="16" ht="14.25" customHeight="1">
      <c r="A16" s="5">
        <v>28.0</v>
      </c>
      <c r="B16" s="2">
        <v>4.0</v>
      </c>
      <c r="C16" s="2">
        <v>55.7</v>
      </c>
      <c r="D16" s="2">
        <v>24.2</v>
      </c>
      <c r="E16" t="str">
        <f t="shared" si="1"/>
        <v>31.5</v>
      </c>
      <c r="L16" t="s">
        <v>27</v>
      </c>
    </row>
    <row r="17" ht="14.25" customHeight="1">
      <c r="A17" s="5">
        <v>30.0</v>
      </c>
      <c r="B17" s="2">
        <v>4.0</v>
      </c>
      <c r="C17" s="2">
        <v>56.4</v>
      </c>
      <c r="D17" s="2">
        <v>24.9</v>
      </c>
      <c r="E17" t="str">
        <f t="shared" si="1"/>
        <v>31.5</v>
      </c>
      <c r="L17" t="s">
        <v>28</v>
      </c>
    </row>
    <row r="18" ht="14.25" customHeight="1">
      <c r="A18" s="5">
        <v>32.0</v>
      </c>
      <c r="B18" s="2">
        <v>4.1</v>
      </c>
      <c r="C18" s="2">
        <v>57.2</v>
      </c>
      <c r="D18" s="2">
        <v>25.4</v>
      </c>
      <c r="E18" t="str">
        <f t="shared" si="1"/>
        <v>31.8</v>
      </c>
    </row>
    <row r="19" ht="14.25" customHeight="1">
      <c r="A19" s="5">
        <v>34.0</v>
      </c>
      <c r="B19" s="2">
        <v>4.2</v>
      </c>
      <c r="C19" s="2">
        <v>57.8</v>
      </c>
      <c r="D19" s="2">
        <v>26.0</v>
      </c>
      <c r="E19" t="str">
        <f t="shared" si="1"/>
        <v>31.8</v>
      </c>
    </row>
    <row r="20" ht="14.25" customHeight="1">
      <c r="A20" s="5">
        <v>36.0</v>
      </c>
      <c r="B20" s="2">
        <v>4.3</v>
      </c>
      <c r="C20" s="2">
        <v>58.3</v>
      </c>
      <c r="D20" s="2">
        <v>26.5</v>
      </c>
      <c r="E20" t="str">
        <f t="shared" si="1"/>
        <v>31.8</v>
      </c>
    </row>
    <row r="21" ht="14.25" customHeight="1">
      <c r="A21" s="5">
        <v>38.0</v>
      </c>
      <c r="B21" s="2">
        <v>4.5</v>
      </c>
      <c r="C21" s="2">
        <v>59.0</v>
      </c>
      <c r="D21" s="2">
        <v>27.4</v>
      </c>
      <c r="E21" t="str">
        <f t="shared" si="1"/>
        <v>31.6</v>
      </c>
    </row>
    <row r="22" ht="14.25" customHeight="1"/>
    <row r="23" ht="14.25" customHeight="1">
      <c r="F23" t="s">
        <v>29</v>
      </c>
      <c r="G23" t="str">
        <f>-R10*0.425/(4.9086*10^(-4)*(AVERAGE(E2:E5)))</f>
        <v>-339.1285691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1.29"/>
    <col customWidth="1" min="8" max="17" width="8.71"/>
  </cols>
  <sheetData>
    <row r="1" ht="14.25" customHeight="1">
      <c r="A1" s="3" t="s">
        <v>0</v>
      </c>
      <c r="B1" s="1" t="s">
        <v>13</v>
      </c>
      <c r="C1" s="1" t="s">
        <v>14</v>
      </c>
      <c r="D1" s="1" t="s">
        <v>15</v>
      </c>
      <c r="E1" s="1" t="s">
        <v>30</v>
      </c>
    </row>
    <row r="2" ht="14.25" customHeight="1">
      <c r="A2" s="5">
        <v>0.0</v>
      </c>
      <c r="B2" s="2">
        <v>1.6</v>
      </c>
      <c r="C2" s="2">
        <v>38.5</v>
      </c>
      <c r="D2" s="2">
        <v>20.2</v>
      </c>
      <c r="E2" s="2">
        <v>18.3</v>
      </c>
    </row>
    <row r="3" ht="14.25" customHeight="1">
      <c r="A3" s="5">
        <v>1.0</v>
      </c>
      <c r="B3" s="2">
        <v>1.9</v>
      </c>
      <c r="C3" s="2">
        <v>38.9</v>
      </c>
      <c r="D3" s="2">
        <v>20.8</v>
      </c>
      <c r="E3" s="2">
        <v>18.1</v>
      </c>
    </row>
    <row r="4" ht="14.25" customHeight="1">
      <c r="A4" s="5">
        <v>2.0</v>
      </c>
      <c r="B4" s="2">
        <v>2.0</v>
      </c>
      <c r="C4" s="2">
        <v>39.3</v>
      </c>
      <c r="D4" s="2">
        <v>21.3</v>
      </c>
      <c r="E4" s="2">
        <v>18.0</v>
      </c>
    </row>
    <row r="5" ht="14.25" customHeight="1">
      <c r="A5" s="5">
        <v>3.0</v>
      </c>
      <c r="B5" s="2">
        <v>2.2</v>
      </c>
      <c r="C5" s="2">
        <v>39.7</v>
      </c>
      <c r="D5" s="2">
        <v>21.8</v>
      </c>
      <c r="E5" s="2">
        <v>17.9</v>
      </c>
    </row>
    <row r="6" ht="14.25" customHeight="1">
      <c r="A6" s="5">
        <v>4.0</v>
      </c>
      <c r="B6" s="2">
        <v>2.5</v>
      </c>
      <c r="C6" s="2">
        <v>40.3</v>
      </c>
      <c r="D6" s="2">
        <v>22.4</v>
      </c>
      <c r="E6" s="2">
        <v>17.9</v>
      </c>
      <c r="M6" s="5"/>
      <c r="N6" s="2"/>
      <c r="O6" s="2"/>
      <c r="P6" s="2"/>
      <c r="Q6" s="2"/>
    </row>
    <row r="7" ht="14.25" customHeight="1">
      <c r="A7" s="5">
        <v>5.0</v>
      </c>
      <c r="B7" s="2">
        <v>2.5</v>
      </c>
      <c r="C7" s="2">
        <v>40.7</v>
      </c>
      <c r="D7" s="2">
        <v>22.7</v>
      </c>
      <c r="E7" s="2">
        <v>18.0</v>
      </c>
      <c r="G7" t="s">
        <v>31</v>
      </c>
      <c r="H7" s="12">
        <v>771.6</v>
      </c>
      <c r="M7" s="3"/>
      <c r="N7" s="2"/>
      <c r="O7" s="2"/>
      <c r="P7" s="2"/>
      <c r="Q7" s="2"/>
    </row>
    <row r="8" ht="14.25" customHeight="1">
      <c r="A8" s="5">
        <v>6.0</v>
      </c>
      <c r="B8" s="2">
        <v>2.7</v>
      </c>
      <c r="C8" s="2">
        <v>41.4</v>
      </c>
      <c r="D8" s="2">
        <v>23.2</v>
      </c>
      <c r="E8" s="2">
        <v>18.2</v>
      </c>
      <c r="M8" s="3"/>
      <c r="N8" s="2"/>
      <c r="O8" s="2"/>
      <c r="P8" s="2"/>
      <c r="Q8" s="2"/>
    </row>
    <row r="9" ht="14.25" customHeight="1">
      <c r="A9" s="5">
        <v>8.0</v>
      </c>
      <c r="B9" s="2">
        <v>2.8</v>
      </c>
      <c r="C9" s="2">
        <v>42.3</v>
      </c>
      <c r="D9" s="2">
        <v>23.7</v>
      </c>
      <c r="E9" s="2">
        <v>18.6</v>
      </c>
      <c r="M9" s="3"/>
      <c r="N9" s="2"/>
      <c r="O9" s="2"/>
      <c r="P9" s="2"/>
      <c r="Q9" s="2"/>
    </row>
    <row r="10" ht="14.25" customHeight="1">
      <c r="A10" s="5">
        <v>9.0</v>
      </c>
      <c r="B10" s="2">
        <v>3.1</v>
      </c>
      <c r="C10" s="2">
        <v>42.7</v>
      </c>
      <c r="D10" s="2">
        <v>24.0</v>
      </c>
      <c r="E10" s="2">
        <v>18.7</v>
      </c>
      <c r="M10" s="3"/>
      <c r="N10" s="1"/>
      <c r="O10" s="2"/>
      <c r="P10" s="2"/>
      <c r="Q10" s="2"/>
    </row>
    <row r="11" ht="14.25" customHeight="1">
      <c r="A11" s="5">
        <v>10.0</v>
      </c>
      <c r="B11" s="2">
        <v>3.3</v>
      </c>
      <c r="C11" s="2">
        <v>43.1</v>
      </c>
      <c r="D11" s="2">
        <v>24.2</v>
      </c>
      <c r="E11" s="2">
        <v>18.9</v>
      </c>
      <c r="J11" t="s">
        <v>32</v>
      </c>
      <c r="M11" s="3"/>
      <c r="N11" s="1"/>
      <c r="O11" s="2"/>
      <c r="P11" s="2"/>
      <c r="Q11" s="2"/>
    </row>
    <row r="12" ht="14.25" customHeight="1">
      <c r="A12" s="5">
        <v>12.0</v>
      </c>
      <c r="B12" s="2">
        <v>3.3</v>
      </c>
      <c r="C12" s="2">
        <v>43.9</v>
      </c>
      <c r="D12" s="2">
        <v>24.7</v>
      </c>
      <c r="E12" s="2">
        <v>19.2</v>
      </c>
      <c r="J12" t="s">
        <v>33</v>
      </c>
    </row>
    <row r="13" ht="14.25" customHeight="1">
      <c r="A13" s="5">
        <v>14.0</v>
      </c>
      <c r="B13" s="2">
        <v>3.4</v>
      </c>
      <c r="C13" s="2">
        <v>44.8</v>
      </c>
      <c r="D13" s="2">
        <v>25.2</v>
      </c>
      <c r="E13" s="2">
        <v>19.6</v>
      </c>
      <c r="J13" t="s">
        <v>34</v>
      </c>
    </row>
    <row r="14" ht="14.25" customHeight="1">
      <c r="A14" s="5">
        <v>16.0</v>
      </c>
      <c r="B14" s="2">
        <v>3.6</v>
      </c>
      <c r="C14" s="2">
        <v>45.9</v>
      </c>
      <c r="D14" s="2">
        <v>25.6</v>
      </c>
      <c r="E14" s="2">
        <v>20.3</v>
      </c>
      <c r="J14" t="s">
        <v>35</v>
      </c>
    </row>
    <row r="15" ht="14.25" customHeight="1">
      <c r="A15" s="5">
        <v>18.0</v>
      </c>
      <c r="B15" s="2">
        <v>3.8</v>
      </c>
      <c r="C15" s="2">
        <v>47.2</v>
      </c>
      <c r="D15" s="2">
        <v>26.2</v>
      </c>
      <c r="E15" s="2">
        <v>21.0</v>
      </c>
    </row>
    <row r="16" ht="14.25" customHeight="1">
      <c r="A16" s="5">
        <v>20.0</v>
      </c>
      <c r="B16" s="2">
        <v>3.9</v>
      </c>
      <c r="C16" s="2">
        <v>48.1</v>
      </c>
      <c r="D16" s="2">
        <v>26.8</v>
      </c>
      <c r="E16" s="2">
        <v>21.3</v>
      </c>
    </row>
    <row r="17" ht="14.25" customHeight="1">
      <c r="A17" s="5">
        <v>22.0</v>
      </c>
      <c r="B17" s="2">
        <v>4.0</v>
      </c>
      <c r="C17" s="2">
        <v>48.9</v>
      </c>
      <c r="D17" s="2">
        <v>27.3</v>
      </c>
      <c r="E17" s="2">
        <v>21.6</v>
      </c>
      <c r="J17" t="s">
        <v>36</v>
      </c>
    </row>
    <row r="18" ht="14.25" customHeight="1">
      <c r="A18" s="5">
        <v>24.0</v>
      </c>
      <c r="B18" s="2">
        <v>4.0</v>
      </c>
      <c r="C18" s="2">
        <v>50.1</v>
      </c>
      <c r="D18" s="2">
        <v>28.1</v>
      </c>
      <c r="E18" s="2">
        <v>22.0</v>
      </c>
      <c r="J18" t="s">
        <v>37</v>
      </c>
    </row>
    <row r="19" ht="14.25" customHeight="1">
      <c r="A19" s="5">
        <v>26.0</v>
      </c>
      <c r="B19" s="2">
        <v>4.0</v>
      </c>
      <c r="C19" s="2">
        <v>51.0</v>
      </c>
      <c r="D19" s="2">
        <v>29.4</v>
      </c>
      <c r="E19" s="2">
        <v>21.6</v>
      </c>
      <c r="J19" t="s">
        <v>38</v>
      </c>
      <c r="N19" t="str">
        <f>13.34563-LossToSurr!E5</f>
        <v>9.7467105</v>
      </c>
    </row>
    <row r="20" ht="14.25" customHeight="1">
      <c r="A20" s="5">
        <v>28.0</v>
      </c>
      <c r="B20" s="2">
        <v>4.0</v>
      </c>
      <c r="C20" s="2">
        <v>51.8</v>
      </c>
      <c r="D20" s="2">
        <v>29.4</v>
      </c>
      <c r="E20" s="2">
        <v>22.4</v>
      </c>
      <c r="J20" t="s">
        <v>39</v>
      </c>
    </row>
    <row r="21" ht="14.25" customHeight="1">
      <c r="A21" s="5">
        <v>30.0</v>
      </c>
      <c r="B21" s="2">
        <v>5.0</v>
      </c>
      <c r="C21" s="2">
        <v>52.6</v>
      </c>
      <c r="D21" s="2">
        <v>29.9</v>
      </c>
      <c r="E21" s="2">
        <v>22.7</v>
      </c>
    </row>
    <row r="22" ht="14.25" customHeight="1">
      <c r="A22" s="5">
        <v>32.0</v>
      </c>
      <c r="B22" s="2">
        <v>4.8</v>
      </c>
      <c r="C22" s="2">
        <v>53.4</v>
      </c>
      <c r="D22" s="2">
        <v>30.7</v>
      </c>
      <c r="E22" s="2">
        <v>22.7</v>
      </c>
    </row>
    <row r="23" ht="14.25" customHeight="1">
      <c r="A23" s="5">
        <v>34.0</v>
      </c>
      <c r="B23" s="2">
        <v>5.0</v>
      </c>
      <c r="C23" s="2">
        <v>54.1</v>
      </c>
      <c r="D23" s="2">
        <v>31.5</v>
      </c>
      <c r="E23" s="2">
        <v>22.6</v>
      </c>
    </row>
    <row r="24" ht="14.25" customHeight="1"/>
    <row r="25" ht="14.25" customHeight="1">
      <c r="I25" t="s">
        <v>40</v>
      </c>
      <c r="J25" t="str">
        <f>N19*0.425/(AVERAGE(E2:E7)*4.9087*10^-4)</f>
        <v>467.9554351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SpecificHeat</vt:lpstr>
      <vt:lpstr>LossToSurr</vt:lpstr>
      <vt:lpstr>AluminumT</vt:lpstr>
      <vt:lpstr>CuT</vt:lpstr>
      <vt:lpstr>AluminiumR</vt:lpstr>
      <vt:lpstr>CuR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2026-09-05T13:42:05Z</dcterms:created>
  <dc:creator>Sufiyan Mirza</dc:creator>
  <cp:lastModifiedBy>Sufiyan Mirza</cp:lastModifiedBy>
  <dcterms:modified xsi:type="dcterms:W3CDTF">2026-09-07T20:49:19Z</dcterms:modified>
</cp:coreProperties>
</file>